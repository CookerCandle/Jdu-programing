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Okayama\"/>
    </mc:Choice>
  </mc:AlternateContent>
  <xr:revisionPtr revIDLastSave="0" documentId="13_ncr:1_{5145ACA5-1F88-4D86-A5B7-3C0A971DBF63}" xr6:coauthVersionLast="47" xr6:coauthVersionMax="47" xr10:uidLastSave="{00000000-0000-0000-0000-000000000000}"/>
  <bookViews>
    <workbookView xWindow="-120" yWindow="-120" windowWidth="29040" windowHeight="15720" tabRatio="714" xr2:uid="{B90ADF08-2B68-44C6-A843-DF9CD7425C58}"/>
  </bookViews>
  <sheets>
    <sheet name="練習1(水準分け)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3" l="1"/>
  <c r="J6" i="23"/>
  <c r="J7" i="23"/>
  <c r="J8" i="23"/>
  <c r="J9" i="23"/>
  <c r="J10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52" i="23"/>
  <c r="J53" i="23"/>
  <c r="J54" i="23"/>
  <c r="J55" i="23"/>
  <c r="J56" i="23"/>
  <c r="J57" i="23"/>
  <c r="J58" i="23"/>
  <c r="J59" i="23"/>
  <c r="J4" i="23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4" i="23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4" i="23"/>
  <c r="F5" i="23"/>
  <c r="F6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1" i="23"/>
  <c r="F22" i="23"/>
  <c r="F23" i="23"/>
  <c r="F24" i="23"/>
  <c r="F25" i="23"/>
  <c r="F26" i="23"/>
  <c r="F27" i="23"/>
  <c r="F28" i="23"/>
  <c r="F29" i="23"/>
  <c r="F30" i="23"/>
  <c r="F31" i="23"/>
  <c r="F32" i="23"/>
  <c r="F33" i="23"/>
  <c r="F34" i="23"/>
  <c r="F35" i="23"/>
  <c r="F36" i="23"/>
  <c r="F37" i="23"/>
  <c r="F38" i="23"/>
  <c r="F39" i="23"/>
  <c r="F40" i="23"/>
  <c r="F41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4" i="23"/>
  <c r="E5" i="23"/>
  <c r="E6" i="23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4" i="23"/>
  <c r="C5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4" i="23"/>
</calcChain>
</file>

<file path=xl/sharedStrings.xml><?xml version="1.0" encoding="utf-8"?>
<sst xmlns="http://schemas.openxmlformats.org/spreadsheetml/2006/main" count="12" uniqueCount="10">
  <si>
    <t>番号</t>
    <rPh sb="0" eb="2">
      <t>バンゴウ</t>
    </rPh>
    <phoneticPr fontId="1"/>
  </si>
  <si>
    <t>連続量（身長と体重）を質的変数に変える</t>
    <rPh sb="0" eb="2">
      <t>レンゾク</t>
    </rPh>
    <rPh sb="2" eb="3">
      <t>リョウ</t>
    </rPh>
    <rPh sb="4" eb="6">
      <t>シンチョウ</t>
    </rPh>
    <rPh sb="7" eb="9">
      <t>タイジュウ</t>
    </rPh>
    <rPh sb="11" eb="13">
      <t>シツテキ</t>
    </rPh>
    <rPh sb="13" eb="15">
      <t>ヘンスウ</t>
    </rPh>
    <rPh sb="16" eb="17">
      <t>カ</t>
    </rPh>
    <phoneticPr fontId="1"/>
  </si>
  <si>
    <t>体重を3水準にする</t>
    <rPh sb="0" eb="2">
      <t>タイジュウ</t>
    </rPh>
    <rPh sb="4" eb="6">
      <t>スイジュン</t>
    </rPh>
    <phoneticPr fontId="1"/>
  </si>
  <si>
    <t>身長を2水準にする</t>
    <rPh sb="0" eb="2">
      <t>シンチョウ</t>
    </rPh>
    <rPh sb="4" eb="6">
      <t>スイジュン</t>
    </rPh>
    <phoneticPr fontId="1"/>
  </si>
  <si>
    <t>体重 kg</t>
    <rPh sb="0" eb="2">
      <t>タイジュウ</t>
    </rPh>
    <phoneticPr fontId="1"/>
  </si>
  <si>
    <t>身長 cm</t>
    <rPh sb="0" eb="2">
      <t>シンチョウ</t>
    </rPh>
    <phoneticPr fontId="1"/>
  </si>
  <si>
    <t>BMI</t>
    <phoneticPr fontId="1"/>
  </si>
  <si>
    <t>肥満警告</t>
    <rPh sb="0" eb="2">
      <t>ヒマン</t>
    </rPh>
    <rPh sb="2" eb="4">
      <t>ケイコク</t>
    </rPh>
    <phoneticPr fontId="1"/>
  </si>
  <si>
    <t>身長と体重を4水準にする</t>
    <rPh sb="0" eb="2">
      <t>シンチョウ</t>
    </rPh>
    <rPh sb="3" eb="5">
      <t>タイジュウ</t>
    </rPh>
    <rPh sb="7" eb="9">
      <t>スイジュン</t>
    </rPh>
    <phoneticPr fontId="1"/>
  </si>
  <si>
    <t>順序尺度に変換されました</t>
    <rPh sb="0" eb="2">
      <t>ジュンジョ</t>
    </rPh>
    <rPh sb="2" eb="4">
      <t>シャクド</t>
    </rPh>
    <rPh sb="5" eb="7">
      <t>ヘンカン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</si>
</sst>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color indexed="10"/>
      <name val="Yu Gothic"/>
      <family val="2"/>
      <charset val="204"/>
    </font>
    <font>
      <sz val="11"/>
      <name val="Yu Gothic"/>
      <family val="2"/>
      <charset val="204"/>
    </font>
    <font>
      <sz val="11"/>
      <color indexed="11"/>
      <name val="Yu Gothic"/>
      <family val="2"/>
      <charset val="204"/>
    </font>
    <font>
      <sz val="11"/>
      <color indexed="12"/>
      <name val="Yu Gothic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>
      <alignment vertical="center"/>
    </xf>
    <xf numFmtId="2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E350B-E999-415E-A361-CC225BC7DE19}">
  <dimension ref="A1:J59"/>
  <sheetViews>
    <sheetView tabSelected="1" topLeftCell="A43" zoomScale="118" zoomScaleNormal="118" workbookViewId="0">
      <selection activeCell="M52" sqref="M52"/>
    </sheetView>
  </sheetViews>
  <sheetFormatPr defaultRowHeight="18.75"/>
  <cols>
    <col min="1" max="2" width="9" style="2"/>
    <col min="3" max="3" width="9.875" style="2" customWidth="1"/>
    <col min="4" max="5" width="9" style="2"/>
    <col min="6" max="6" width="12.375" style="2" bestFit="1" customWidth="1"/>
    <col min="7" max="7" width="9" style="2"/>
    <col min="8" max="8" width="3.25" style="2" customWidth="1"/>
    <col min="9" max="16384" width="9" style="2"/>
  </cols>
  <sheetData>
    <row r="1" spans="1:10">
      <c r="A1" s="1" t="s">
        <v>1</v>
      </c>
      <c r="J1" s="3" t="s">
        <v>9</v>
      </c>
    </row>
    <row r="2" spans="1:10">
      <c r="C2" s="4" t="s">
        <v>3</v>
      </c>
      <c r="E2" s="4" t="s">
        <v>2</v>
      </c>
      <c r="I2" s="4" t="s">
        <v>8</v>
      </c>
    </row>
    <row r="3" spans="1:10">
      <c r="A3" s="2" t="s">
        <v>0</v>
      </c>
      <c r="B3" s="2" t="s">
        <v>5</v>
      </c>
      <c r="D3" s="2" t="s">
        <v>4</v>
      </c>
      <c r="F3" s="2" t="s">
        <v>6</v>
      </c>
      <c r="G3" s="2" t="s">
        <v>7</v>
      </c>
      <c r="I3" s="2" t="s">
        <v>5</v>
      </c>
      <c r="J3" s="2" t="s">
        <v>4</v>
      </c>
    </row>
    <row r="4" spans="1:10">
      <c r="A4" s="5">
        <v>1</v>
      </c>
      <c r="B4" s="5">
        <v>175</v>
      </c>
      <c r="C4" s="5" t="str">
        <f>IF(B4&lt;166, "small", "tall")</f>
        <v>tall</v>
      </c>
      <c r="D4" s="6">
        <v>76.123799999999989</v>
      </c>
      <c r="E4" s="5" t="str">
        <f>IF(D4&lt;55, "軽い", IF(D4&gt;70, "重い", "中位"))</f>
        <v>重い</v>
      </c>
      <c r="F4" s="7">
        <f>D4/(B4/100)^2</f>
        <v>24.856751020408158</v>
      </c>
      <c r="G4" s="5" t="str">
        <f>IF(F4&gt;25, "肥満", " ")</f>
        <v xml:space="preserve"> </v>
      </c>
      <c r="H4" s="5"/>
      <c r="I4" s="5">
        <f>IF(B4&lt;150, 1, IF(B4&lt;165, 2, IF(B4&lt;180, 3, 4)))</f>
        <v>3</v>
      </c>
      <c r="J4" s="5">
        <f>IF(D4&lt;55, 1, IF(D4&lt;65, 2, IF(D4&lt;75, 3, 4)))</f>
        <v>4</v>
      </c>
    </row>
    <row r="5" spans="1:10">
      <c r="A5" s="5">
        <v>2</v>
      </c>
      <c r="B5" s="5">
        <v>175</v>
      </c>
      <c r="C5" s="5" t="str">
        <f t="shared" ref="C5:C59" si="0">IF(B5&lt;166, "small", "tall")</f>
        <v>tall</v>
      </c>
      <c r="D5" s="6">
        <v>79.198920000000001</v>
      </c>
      <c r="E5" s="5" t="str">
        <f t="shared" ref="E5:E59" si="1">IF(D5&lt;55, "軽い", IF(D5&gt;70, "重い", "中位"))</f>
        <v>重い</v>
      </c>
      <c r="F5" s="7">
        <f t="shared" ref="F5:F59" si="2">D5/(B5/100)^2</f>
        <v>25.860871836734695</v>
      </c>
      <c r="G5" s="5" t="str">
        <f t="shared" ref="G5:G59" si="3">IF(F5&gt;25, "肥満", " ")</f>
        <v>肥満</v>
      </c>
      <c r="H5" s="5"/>
      <c r="I5" s="5">
        <f t="shared" ref="I5:I59" si="4">IF(B5&lt;150, 1, IF(B5&lt;165, 2, IF(B5&lt;180, 3, 4)))</f>
        <v>3</v>
      </c>
      <c r="J5" s="5">
        <f t="shared" ref="J5:J59" si="5">IF(D5&lt;55, 1, IF(D5&lt;65, 2, IF(D5&lt;75, 3, 4)))</f>
        <v>4</v>
      </c>
    </row>
    <row r="6" spans="1:10">
      <c r="A6" s="5">
        <v>3</v>
      </c>
      <c r="B6" s="5">
        <v>141</v>
      </c>
      <c r="C6" s="5" t="str">
        <f t="shared" si="0"/>
        <v>small</v>
      </c>
      <c r="D6" s="6">
        <v>52.36</v>
      </c>
      <c r="E6" s="5" t="str">
        <f t="shared" si="1"/>
        <v>軽い</v>
      </c>
      <c r="F6" s="7">
        <f t="shared" si="2"/>
        <v>26.336703385141597</v>
      </c>
      <c r="G6" s="5" t="str">
        <f t="shared" si="3"/>
        <v>肥満</v>
      </c>
      <c r="H6" s="5"/>
      <c r="I6" s="5">
        <f t="shared" si="4"/>
        <v>1</v>
      </c>
      <c r="J6" s="5">
        <f t="shared" si="5"/>
        <v>1</v>
      </c>
    </row>
    <row r="7" spans="1:10">
      <c r="A7" s="5">
        <v>4</v>
      </c>
      <c r="B7" s="5">
        <v>189</v>
      </c>
      <c r="C7" s="5" t="str">
        <f t="shared" si="0"/>
        <v>tall</v>
      </c>
      <c r="D7" s="6">
        <v>105.57</v>
      </c>
      <c r="E7" s="5" t="str">
        <f t="shared" si="1"/>
        <v>重い</v>
      </c>
      <c r="F7" s="7">
        <f t="shared" si="2"/>
        <v>29.554043839758126</v>
      </c>
      <c r="G7" s="5" t="str">
        <f t="shared" si="3"/>
        <v>肥満</v>
      </c>
      <c r="H7" s="5"/>
      <c r="I7" s="5">
        <f t="shared" si="4"/>
        <v>4</v>
      </c>
      <c r="J7" s="5">
        <f t="shared" si="5"/>
        <v>4</v>
      </c>
    </row>
    <row r="8" spans="1:10">
      <c r="A8" s="5">
        <v>5</v>
      </c>
      <c r="B8" s="5">
        <v>162</v>
      </c>
      <c r="C8" s="5" t="str">
        <f t="shared" si="0"/>
        <v>small</v>
      </c>
      <c r="D8" s="6">
        <v>52.488</v>
      </c>
      <c r="E8" s="5" t="str">
        <f t="shared" si="1"/>
        <v>軽い</v>
      </c>
      <c r="F8" s="7">
        <f t="shared" si="2"/>
        <v>19.999999999999996</v>
      </c>
      <c r="G8" s="5" t="str">
        <f t="shared" si="3"/>
        <v xml:space="preserve"> </v>
      </c>
      <c r="H8" s="5"/>
      <c r="I8" s="5">
        <f t="shared" si="4"/>
        <v>2</v>
      </c>
      <c r="J8" s="5">
        <f t="shared" si="5"/>
        <v>1</v>
      </c>
    </row>
    <row r="9" spans="1:10">
      <c r="A9" s="5">
        <v>6</v>
      </c>
      <c r="B9" s="5">
        <v>163</v>
      </c>
      <c r="C9" s="5" t="str">
        <f t="shared" si="0"/>
        <v>small</v>
      </c>
      <c r="D9" s="6">
        <v>64.889548590000004</v>
      </c>
      <c r="E9" s="5" t="str">
        <f t="shared" si="1"/>
        <v>中位</v>
      </c>
      <c r="F9" s="7">
        <f t="shared" si="2"/>
        <v>24.423030068877267</v>
      </c>
      <c r="G9" s="5" t="str">
        <f t="shared" si="3"/>
        <v xml:space="preserve"> </v>
      </c>
      <c r="H9" s="5"/>
      <c r="I9" s="5">
        <f t="shared" si="4"/>
        <v>2</v>
      </c>
      <c r="J9" s="5">
        <f t="shared" si="5"/>
        <v>2</v>
      </c>
    </row>
    <row r="10" spans="1:10">
      <c r="A10" s="5">
        <v>7</v>
      </c>
      <c r="B10" s="5">
        <v>158</v>
      </c>
      <c r="C10" s="5" t="str">
        <f t="shared" si="0"/>
        <v>small</v>
      </c>
      <c r="D10" s="6">
        <v>73.979200000000006</v>
      </c>
      <c r="E10" s="5" t="str">
        <f t="shared" si="1"/>
        <v>重い</v>
      </c>
      <c r="F10" s="7">
        <f t="shared" si="2"/>
        <v>29.63435346899535</v>
      </c>
      <c r="G10" s="5" t="str">
        <f t="shared" si="3"/>
        <v>肥満</v>
      </c>
      <c r="H10" s="5"/>
      <c r="I10" s="5">
        <f t="shared" si="4"/>
        <v>2</v>
      </c>
      <c r="J10" s="5">
        <f t="shared" si="5"/>
        <v>3</v>
      </c>
    </row>
    <row r="11" spans="1:10">
      <c r="A11" s="5">
        <v>8</v>
      </c>
      <c r="B11" s="5">
        <v>177</v>
      </c>
      <c r="C11" s="5" t="str">
        <f t="shared" si="0"/>
        <v>tall</v>
      </c>
      <c r="D11" s="6">
        <v>94.655999999999992</v>
      </c>
      <c r="E11" s="5" t="str">
        <f t="shared" si="1"/>
        <v>重い</v>
      </c>
      <c r="F11" s="7">
        <f t="shared" si="2"/>
        <v>30.2135401704491</v>
      </c>
      <c r="G11" s="5" t="str">
        <f t="shared" si="3"/>
        <v>肥満</v>
      </c>
      <c r="H11" s="5"/>
      <c r="I11" s="5">
        <f t="shared" si="4"/>
        <v>3</v>
      </c>
      <c r="J11" s="5">
        <f t="shared" si="5"/>
        <v>4</v>
      </c>
    </row>
    <row r="12" spans="1:10">
      <c r="A12" s="5">
        <v>9</v>
      </c>
      <c r="B12" s="5">
        <v>165</v>
      </c>
      <c r="C12" s="5" t="str">
        <f t="shared" si="0"/>
        <v>small</v>
      </c>
      <c r="D12" s="6">
        <v>53.817254999999989</v>
      </c>
      <c r="E12" s="5" t="str">
        <f t="shared" si="1"/>
        <v>軽い</v>
      </c>
      <c r="F12" s="7">
        <f t="shared" si="2"/>
        <v>19.767586776859503</v>
      </c>
      <c r="G12" s="5" t="str">
        <f t="shared" si="3"/>
        <v xml:space="preserve"> </v>
      </c>
      <c r="H12" s="5"/>
      <c r="I12" s="5">
        <f t="shared" si="4"/>
        <v>3</v>
      </c>
      <c r="J12" s="5">
        <f t="shared" si="5"/>
        <v>1</v>
      </c>
    </row>
    <row r="13" spans="1:10">
      <c r="A13" s="5">
        <v>10</v>
      </c>
      <c r="B13" s="5">
        <v>160</v>
      </c>
      <c r="C13" s="5" t="str">
        <f t="shared" si="0"/>
        <v>small</v>
      </c>
      <c r="D13" s="6">
        <v>62.596012800000004</v>
      </c>
      <c r="E13" s="5" t="str">
        <f t="shared" si="1"/>
        <v>中位</v>
      </c>
      <c r="F13" s="7">
        <f t="shared" si="2"/>
        <v>24.451567499999996</v>
      </c>
      <c r="G13" s="5" t="str">
        <f t="shared" si="3"/>
        <v xml:space="preserve"> </v>
      </c>
      <c r="H13" s="5"/>
      <c r="I13" s="5">
        <f t="shared" si="4"/>
        <v>2</v>
      </c>
      <c r="J13" s="5">
        <f t="shared" si="5"/>
        <v>2</v>
      </c>
    </row>
    <row r="14" spans="1:10">
      <c r="A14" s="5">
        <v>11</v>
      </c>
      <c r="B14" s="5">
        <v>176</v>
      </c>
      <c r="C14" s="5" t="str">
        <f t="shared" si="0"/>
        <v>tall</v>
      </c>
      <c r="D14" s="6">
        <v>88.47</v>
      </c>
      <c r="E14" s="5" t="str">
        <f t="shared" si="1"/>
        <v>重い</v>
      </c>
      <c r="F14" s="7">
        <f t="shared" si="2"/>
        <v>28.560821280991735</v>
      </c>
      <c r="G14" s="5" t="str">
        <f t="shared" si="3"/>
        <v>肥満</v>
      </c>
      <c r="H14" s="5"/>
      <c r="I14" s="5">
        <f t="shared" si="4"/>
        <v>3</v>
      </c>
      <c r="J14" s="5">
        <f t="shared" si="5"/>
        <v>4</v>
      </c>
    </row>
    <row r="15" spans="1:10">
      <c r="A15" s="5">
        <v>12</v>
      </c>
      <c r="B15" s="5">
        <v>173</v>
      </c>
      <c r="C15" s="5" t="str">
        <f t="shared" si="0"/>
        <v>tall</v>
      </c>
      <c r="D15" s="6">
        <v>60.3</v>
      </c>
      <c r="E15" s="5" t="str">
        <f t="shared" si="1"/>
        <v>中位</v>
      </c>
      <c r="F15" s="7">
        <f t="shared" si="2"/>
        <v>20.14768284941027</v>
      </c>
      <c r="G15" s="5" t="str">
        <f t="shared" si="3"/>
        <v xml:space="preserve"> </v>
      </c>
      <c r="H15" s="5"/>
      <c r="I15" s="5">
        <f t="shared" si="4"/>
        <v>3</v>
      </c>
      <c r="J15" s="5">
        <f t="shared" si="5"/>
        <v>2</v>
      </c>
    </row>
    <row r="16" spans="1:10">
      <c r="A16" s="5">
        <v>13</v>
      </c>
      <c r="B16" s="5">
        <v>176</v>
      </c>
      <c r="C16" s="5" t="str">
        <f t="shared" si="0"/>
        <v>tall</v>
      </c>
      <c r="D16" s="6">
        <v>74</v>
      </c>
      <c r="E16" s="5" t="str">
        <f t="shared" si="1"/>
        <v>重い</v>
      </c>
      <c r="F16" s="7">
        <f t="shared" si="2"/>
        <v>23.889462809917354</v>
      </c>
      <c r="G16" s="5" t="str">
        <f t="shared" si="3"/>
        <v xml:space="preserve"> </v>
      </c>
      <c r="H16" s="5"/>
      <c r="I16" s="5">
        <f t="shared" si="4"/>
        <v>3</v>
      </c>
      <c r="J16" s="5">
        <f t="shared" si="5"/>
        <v>3</v>
      </c>
    </row>
    <row r="17" spans="1:10">
      <c r="A17" s="5">
        <v>14</v>
      </c>
      <c r="B17" s="5">
        <v>168</v>
      </c>
      <c r="C17" s="5" t="str">
        <f t="shared" si="0"/>
        <v>tall</v>
      </c>
      <c r="D17" s="6">
        <v>66.034264500000006</v>
      </c>
      <c r="E17" s="5" t="str">
        <f t="shared" si="1"/>
        <v>中位</v>
      </c>
      <c r="F17" s="7">
        <f t="shared" si="2"/>
        <v>23.396493941326536</v>
      </c>
      <c r="G17" s="5" t="str">
        <f t="shared" si="3"/>
        <v xml:space="preserve"> </v>
      </c>
      <c r="H17" s="5"/>
      <c r="I17" s="5">
        <f t="shared" si="4"/>
        <v>3</v>
      </c>
      <c r="J17" s="5">
        <f t="shared" si="5"/>
        <v>3</v>
      </c>
    </row>
    <row r="18" spans="1:10">
      <c r="A18" s="5">
        <v>15</v>
      </c>
      <c r="B18" s="5">
        <v>161</v>
      </c>
      <c r="C18" s="5" t="str">
        <f t="shared" si="0"/>
        <v>small</v>
      </c>
      <c r="D18" s="6">
        <v>76.658799999999999</v>
      </c>
      <c r="E18" s="5" t="str">
        <f t="shared" si="1"/>
        <v>重い</v>
      </c>
      <c r="F18" s="7">
        <f t="shared" si="2"/>
        <v>29.57401334825045</v>
      </c>
      <c r="G18" s="5" t="str">
        <f t="shared" si="3"/>
        <v>肥満</v>
      </c>
      <c r="H18" s="5"/>
      <c r="I18" s="5">
        <f t="shared" si="4"/>
        <v>2</v>
      </c>
      <c r="J18" s="5">
        <f t="shared" si="5"/>
        <v>4</v>
      </c>
    </row>
    <row r="19" spans="1:10">
      <c r="A19" s="5">
        <v>16</v>
      </c>
      <c r="B19" s="5">
        <v>169</v>
      </c>
      <c r="C19" s="5" t="str">
        <f t="shared" si="0"/>
        <v>tall</v>
      </c>
      <c r="D19" s="6">
        <v>72</v>
      </c>
      <c r="E19" s="5" t="str">
        <f t="shared" si="1"/>
        <v>重い</v>
      </c>
      <c r="F19" s="7">
        <f t="shared" si="2"/>
        <v>25.209201358495854</v>
      </c>
      <c r="G19" s="5" t="str">
        <f t="shared" si="3"/>
        <v>肥満</v>
      </c>
      <c r="H19" s="5"/>
      <c r="I19" s="5">
        <f t="shared" si="4"/>
        <v>3</v>
      </c>
      <c r="J19" s="5">
        <f t="shared" si="5"/>
        <v>3</v>
      </c>
    </row>
    <row r="20" spans="1:10">
      <c r="A20" s="5">
        <v>17</v>
      </c>
      <c r="B20" s="5">
        <v>174</v>
      </c>
      <c r="C20" s="5" t="str">
        <f t="shared" si="0"/>
        <v>tall</v>
      </c>
      <c r="D20" s="6">
        <v>80</v>
      </c>
      <c r="E20" s="5" t="str">
        <f t="shared" si="1"/>
        <v>重い</v>
      </c>
      <c r="F20" s="7">
        <f t="shared" si="2"/>
        <v>26.423569824283259</v>
      </c>
      <c r="G20" s="5" t="str">
        <f t="shared" si="3"/>
        <v>肥満</v>
      </c>
      <c r="H20" s="5"/>
      <c r="I20" s="5">
        <f t="shared" si="4"/>
        <v>3</v>
      </c>
      <c r="J20" s="5">
        <f t="shared" si="5"/>
        <v>4</v>
      </c>
    </row>
    <row r="21" spans="1:10">
      <c r="A21" s="5">
        <v>18</v>
      </c>
      <c r="B21" s="5">
        <v>154</v>
      </c>
      <c r="C21" s="5" t="str">
        <f t="shared" si="0"/>
        <v>small</v>
      </c>
      <c r="D21" s="6">
        <v>57.067852500000001</v>
      </c>
      <c r="E21" s="5" t="str">
        <f t="shared" si="1"/>
        <v>中位</v>
      </c>
      <c r="F21" s="7">
        <f t="shared" si="2"/>
        <v>24.063017583066287</v>
      </c>
      <c r="G21" s="5" t="str">
        <f t="shared" si="3"/>
        <v xml:space="preserve"> </v>
      </c>
      <c r="H21" s="5"/>
      <c r="I21" s="5">
        <f t="shared" si="4"/>
        <v>2</v>
      </c>
      <c r="J21" s="5">
        <f t="shared" si="5"/>
        <v>2</v>
      </c>
    </row>
    <row r="22" spans="1:10">
      <c r="A22" s="5">
        <v>19</v>
      </c>
      <c r="B22" s="5">
        <v>174</v>
      </c>
      <c r="C22" s="5" t="str">
        <f t="shared" si="0"/>
        <v>tall</v>
      </c>
      <c r="D22" s="6">
        <v>87.492800000000003</v>
      </c>
      <c r="E22" s="5" t="str">
        <f t="shared" si="1"/>
        <v>重い</v>
      </c>
      <c r="F22" s="7">
        <f t="shared" si="2"/>
        <v>28.898401374025632</v>
      </c>
      <c r="G22" s="5" t="str">
        <f t="shared" si="3"/>
        <v>肥満</v>
      </c>
      <c r="H22" s="5"/>
      <c r="I22" s="5">
        <f t="shared" si="4"/>
        <v>3</v>
      </c>
      <c r="J22" s="5">
        <f t="shared" si="5"/>
        <v>4</v>
      </c>
    </row>
    <row r="23" spans="1:10">
      <c r="A23" s="5">
        <v>20</v>
      </c>
      <c r="B23" s="5">
        <v>177</v>
      </c>
      <c r="C23" s="5" t="str">
        <f t="shared" si="0"/>
        <v>tall</v>
      </c>
      <c r="D23" s="6">
        <v>116.116035</v>
      </c>
      <c r="E23" s="5" t="str">
        <f t="shared" si="1"/>
        <v>重い</v>
      </c>
      <c r="F23" s="7">
        <f t="shared" si="2"/>
        <v>37.063434836732739</v>
      </c>
      <c r="G23" s="5" t="str">
        <f t="shared" si="3"/>
        <v>肥満</v>
      </c>
      <c r="H23" s="5"/>
      <c r="I23" s="5">
        <f t="shared" si="4"/>
        <v>3</v>
      </c>
      <c r="J23" s="5">
        <f t="shared" si="5"/>
        <v>4</v>
      </c>
    </row>
    <row r="24" spans="1:10">
      <c r="A24" s="5">
        <v>21</v>
      </c>
      <c r="B24" s="5">
        <v>166</v>
      </c>
      <c r="C24" s="5" t="str">
        <f t="shared" si="0"/>
        <v>tall</v>
      </c>
      <c r="D24" s="6">
        <v>79</v>
      </c>
      <c r="E24" s="5" t="str">
        <f t="shared" si="1"/>
        <v>重い</v>
      </c>
      <c r="F24" s="7">
        <f t="shared" si="2"/>
        <v>28.668892437218755</v>
      </c>
      <c r="G24" s="5" t="str">
        <f t="shared" si="3"/>
        <v>肥満</v>
      </c>
      <c r="H24" s="5"/>
      <c r="I24" s="5">
        <f t="shared" si="4"/>
        <v>3</v>
      </c>
      <c r="J24" s="5">
        <f t="shared" si="5"/>
        <v>4</v>
      </c>
    </row>
    <row r="25" spans="1:10">
      <c r="A25" s="5">
        <v>22</v>
      </c>
      <c r="B25" s="5">
        <v>179</v>
      </c>
      <c r="C25" s="5" t="str">
        <f t="shared" si="0"/>
        <v>tall</v>
      </c>
      <c r="D25" s="6">
        <v>81.597858000000002</v>
      </c>
      <c r="E25" s="5" t="str">
        <f t="shared" si="1"/>
        <v>重い</v>
      </c>
      <c r="F25" s="7">
        <f t="shared" si="2"/>
        <v>25.466701413813553</v>
      </c>
      <c r="G25" s="5" t="str">
        <f t="shared" si="3"/>
        <v>肥満</v>
      </c>
      <c r="H25" s="5"/>
      <c r="I25" s="5">
        <f t="shared" si="4"/>
        <v>3</v>
      </c>
      <c r="J25" s="5">
        <f t="shared" si="5"/>
        <v>4</v>
      </c>
    </row>
    <row r="26" spans="1:10">
      <c r="A26" s="5">
        <v>23</v>
      </c>
      <c r="B26" s="5">
        <v>180</v>
      </c>
      <c r="C26" s="5" t="str">
        <f t="shared" si="0"/>
        <v>tall</v>
      </c>
      <c r="D26" s="6">
        <v>99.588800000000006</v>
      </c>
      <c r="E26" s="5" t="str">
        <f t="shared" si="1"/>
        <v>重い</v>
      </c>
      <c r="F26" s="7">
        <f t="shared" si="2"/>
        <v>30.737283950617282</v>
      </c>
      <c r="G26" s="5" t="str">
        <f t="shared" si="3"/>
        <v>肥満</v>
      </c>
      <c r="H26" s="5"/>
      <c r="I26" s="5">
        <f t="shared" si="4"/>
        <v>4</v>
      </c>
      <c r="J26" s="5">
        <f t="shared" si="5"/>
        <v>4</v>
      </c>
    </row>
    <row r="27" spans="1:10">
      <c r="A27" s="5">
        <v>24</v>
      </c>
      <c r="B27" s="5">
        <v>170</v>
      </c>
      <c r="C27" s="5" t="str">
        <f t="shared" si="0"/>
        <v>tall</v>
      </c>
      <c r="D27" s="6">
        <v>76.2</v>
      </c>
      <c r="E27" s="5" t="str">
        <f t="shared" si="1"/>
        <v>重い</v>
      </c>
      <c r="F27" s="7">
        <f t="shared" si="2"/>
        <v>26.36678200692042</v>
      </c>
      <c r="G27" s="5" t="str">
        <f t="shared" si="3"/>
        <v>肥満</v>
      </c>
      <c r="H27" s="5"/>
      <c r="I27" s="5">
        <f t="shared" si="4"/>
        <v>3</v>
      </c>
      <c r="J27" s="5">
        <f t="shared" si="5"/>
        <v>4</v>
      </c>
    </row>
    <row r="28" spans="1:10">
      <c r="A28" s="5">
        <v>25</v>
      </c>
      <c r="B28" s="5">
        <v>183</v>
      </c>
      <c r="C28" s="5" t="str">
        <f t="shared" si="0"/>
        <v>tall</v>
      </c>
      <c r="D28" s="6">
        <v>72.158737499999987</v>
      </c>
      <c r="E28" s="5" t="str">
        <f t="shared" si="1"/>
        <v>重い</v>
      </c>
      <c r="F28" s="7">
        <f t="shared" si="2"/>
        <v>21.54699677506046</v>
      </c>
      <c r="G28" s="5" t="str">
        <f t="shared" si="3"/>
        <v xml:space="preserve"> </v>
      </c>
      <c r="H28" s="5"/>
      <c r="I28" s="5">
        <f t="shared" si="4"/>
        <v>4</v>
      </c>
      <c r="J28" s="5">
        <f t="shared" si="5"/>
        <v>3</v>
      </c>
    </row>
    <row r="29" spans="1:10">
      <c r="A29" s="5">
        <v>26</v>
      </c>
      <c r="B29" s="5">
        <v>149</v>
      </c>
      <c r="C29" s="5" t="str">
        <f t="shared" si="0"/>
        <v>small</v>
      </c>
      <c r="D29" s="6">
        <v>41</v>
      </c>
      <c r="E29" s="5" t="str">
        <f t="shared" si="1"/>
        <v>軽い</v>
      </c>
      <c r="F29" s="7">
        <f t="shared" si="2"/>
        <v>18.467636592946263</v>
      </c>
      <c r="G29" s="5" t="str">
        <f t="shared" si="3"/>
        <v xml:space="preserve"> </v>
      </c>
      <c r="H29" s="5"/>
      <c r="I29" s="5">
        <f t="shared" si="4"/>
        <v>1</v>
      </c>
      <c r="J29" s="5">
        <f t="shared" si="5"/>
        <v>1</v>
      </c>
    </row>
    <row r="30" spans="1:10">
      <c r="A30" s="5">
        <v>27</v>
      </c>
      <c r="B30" s="5">
        <v>168</v>
      </c>
      <c r="C30" s="5" t="str">
        <f t="shared" si="0"/>
        <v>tall</v>
      </c>
      <c r="D30" s="6">
        <v>66.41</v>
      </c>
      <c r="E30" s="5" t="str">
        <f t="shared" si="1"/>
        <v>中位</v>
      </c>
      <c r="F30" s="7">
        <f t="shared" si="2"/>
        <v>23.5296201814059</v>
      </c>
      <c r="G30" s="5" t="str">
        <f t="shared" si="3"/>
        <v xml:space="preserve"> </v>
      </c>
      <c r="H30" s="5"/>
      <c r="I30" s="5">
        <f t="shared" si="4"/>
        <v>3</v>
      </c>
      <c r="J30" s="5">
        <f t="shared" si="5"/>
        <v>3</v>
      </c>
    </row>
    <row r="31" spans="1:10">
      <c r="A31" s="5">
        <v>28</v>
      </c>
      <c r="B31" s="5">
        <v>157</v>
      </c>
      <c r="C31" s="5" t="str">
        <f t="shared" si="0"/>
        <v>small</v>
      </c>
      <c r="D31" s="6">
        <v>86.811435000000003</v>
      </c>
      <c r="E31" s="5" t="str">
        <f t="shared" si="1"/>
        <v>重い</v>
      </c>
      <c r="F31" s="7">
        <f t="shared" si="2"/>
        <v>35.219049454338915</v>
      </c>
      <c r="G31" s="5" t="str">
        <f t="shared" si="3"/>
        <v>肥満</v>
      </c>
      <c r="H31" s="5"/>
      <c r="I31" s="5">
        <f t="shared" si="4"/>
        <v>2</v>
      </c>
      <c r="J31" s="5">
        <f t="shared" si="5"/>
        <v>4</v>
      </c>
    </row>
    <row r="32" spans="1:10">
      <c r="A32" s="5">
        <v>29</v>
      </c>
      <c r="B32" s="5">
        <v>166</v>
      </c>
      <c r="C32" s="5" t="str">
        <f t="shared" si="0"/>
        <v>tall</v>
      </c>
      <c r="D32" s="6">
        <v>58.066199999999988</v>
      </c>
      <c r="E32" s="5" t="str">
        <f t="shared" si="1"/>
        <v>中位</v>
      </c>
      <c r="F32" s="7">
        <f t="shared" si="2"/>
        <v>21.072071418202928</v>
      </c>
      <c r="G32" s="5" t="str">
        <f t="shared" si="3"/>
        <v xml:space="preserve"> </v>
      </c>
      <c r="H32" s="5"/>
      <c r="I32" s="5">
        <f t="shared" si="4"/>
        <v>3</v>
      </c>
      <c r="J32" s="5">
        <f t="shared" si="5"/>
        <v>2</v>
      </c>
    </row>
    <row r="33" spans="1:10">
      <c r="A33" s="5">
        <v>30</v>
      </c>
      <c r="B33" s="5">
        <v>148</v>
      </c>
      <c r="C33" s="5" t="str">
        <f t="shared" si="0"/>
        <v>small</v>
      </c>
      <c r="D33" s="6">
        <v>52.146072000000004</v>
      </c>
      <c r="E33" s="5" t="str">
        <f t="shared" si="1"/>
        <v>軽い</v>
      </c>
      <c r="F33" s="7">
        <f t="shared" si="2"/>
        <v>23.806643535427323</v>
      </c>
      <c r="G33" s="5" t="str">
        <f t="shared" si="3"/>
        <v xml:space="preserve"> </v>
      </c>
      <c r="H33" s="5"/>
      <c r="I33" s="5">
        <f t="shared" si="4"/>
        <v>1</v>
      </c>
      <c r="J33" s="5">
        <f t="shared" si="5"/>
        <v>1</v>
      </c>
    </row>
    <row r="34" spans="1:10">
      <c r="A34" s="5">
        <v>31</v>
      </c>
      <c r="B34" s="5">
        <v>190</v>
      </c>
      <c r="C34" s="5" t="str">
        <f t="shared" si="0"/>
        <v>tall</v>
      </c>
      <c r="D34" s="6">
        <v>94</v>
      </c>
      <c r="E34" s="5" t="str">
        <f t="shared" si="1"/>
        <v>重い</v>
      </c>
      <c r="F34" s="7">
        <f t="shared" si="2"/>
        <v>26.038781163434905</v>
      </c>
      <c r="G34" s="5" t="str">
        <f t="shared" si="3"/>
        <v>肥満</v>
      </c>
      <c r="H34" s="5"/>
      <c r="I34" s="5">
        <f t="shared" si="4"/>
        <v>4</v>
      </c>
      <c r="J34" s="5">
        <f t="shared" si="5"/>
        <v>4</v>
      </c>
    </row>
    <row r="35" spans="1:10">
      <c r="A35" s="5">
        <v>32</v>
      </c>
      <c r="B35" s="5">
        <v>150</v>
      </c>
      <c r="C35" s="5" t="str">
        <f t="shared" si="0"/>
        <v>small</v>
      </c>
      <c r="D35" s="6">
        <v>75</v>
      </c>
      <c r="E35" s="5" t="str">
        <f t="shared" si="1"/>
        <v>重い</v>
      </c>
      <c r="F35" s="7">
        <f t="shared" si="2"/>
        <v>33.333333333333336</v>
      </c>
      <c r="G35" s="5" t="str">
        <f t="shared" si="3"/>
        <v>肥満</v>
      </c>
      <c r="H35" s="5"/>
      <c r="I35" s="5">
        <f t="shared" si="4"/>
        <v>2</v>
      </c>
      <c r="J35" s="5">
        <f t="shared" si="5"/>
        <v>4</v>
      </c>
    </row>
    <row r="36" spans="1:10">
      <c r="A36" s="5">
        <v>33</v>
      </c>
      <c r="B36" s="5">
        <v>144</v>
      </c>
      <c r="C36" s="5" t="str">
        <f t="shared" si="0"/>
        <v>small</v>
      </c>
      <c r="D36" s="6">
        <v>49.313137499999996</v>
      </c>
      <c r="E36" s="5" t="str">
        <f t="shared" si="1"/>
        <v>軽い</v>
      </c>
      <c r="F36" s="7">
        <f t="shared" si="2"/>
        <v>23.781412760416668</v>
      </c>
      <c r="G36" s="5" t="str">
        <f t="shared" si="3"/>
        <v xml:space="preserve"> </v>
      </c>
      <c r="H36" s="5"/>
      <c r="I36" s="5">
        <f t="shared" si="4"/>
        <v>1</v>
      </c>
      <c r="J36" s="5">
        <f t="shared" si="5"/>
        <v>1</v>
      </c>
    </row>
    <row r="37" spans="1:10">
      <c r="A37" s="5">
        <v>34</v>
      </c>
      <c r="B37" s="5">
        <v>157</v>
      </c>
      <c r="C37" s="5" t="str">
        <f t="shared" si="0"/>
        <v>small</v>
      </c>
      <c r="D37" s="6">
        <v>63.1</v>
      </c>
      <c r="E37" s="5" t="str">
        <f t="shared" si="1"/>
        <v>中位</v>
      </c>
      <c r="F37" s="7">
        <f t="shared" si="2"/>
        <v>25.599415797801129</v>
      </c>
      <c r="G37" s="5" t="str">
        <f t="shared" si="3"/>
        <v>肥満</v>
      </c>
      <c r="H37" s="5"/>
      <c r="I37" s="5">
        <f t="shared" si="4"/>
        <v>2</v>
      </c>
      <c r="J37" s="5">
        <f t="shared" si="5"/>
        <v>2</v>
      </c>
    </row>
    <row r="38" spans="1:10">
      <c r="A38" s="5">
        <v>35</v>
      </c>
      <c r="B38" s="5">
        <v>160</v>
      </c>
      <c r="C38" s="5" t="str">
        <f t="shared" si="0"/>
        <v>small</v>
      </c>
      <c r="D38" s="6">
        <v>51.5</v>
      </c>
      <c r="E38" s="5" t="str">
        <f t="shared" si="1"/>
        <v>軽い</v>
      </c>
      <c r="F38" s="7">
        <f t="shared" si="2"/>
        <v>20.117187499999996</v>
      </c>
      <c r="G38" s="5" t="str">
        <f t="shared" si="3"/>
        <v xml:space="preserve"> </v>
      </c>
      <c r="H38" s="5"/>
      <c r="I38" s="5">
        <f t="shared" si="4"/>
        <v>2</v>
      </c>
      <c r="J38" s="5">
        <f t="shared" si="5"/>
        <v>1</v>
      </c>
    </row>
    <row r="39" spans="1:10">
      <c r="A39" s="5">
        <v>36</v>
      </c>
      <c r="B39" s="5">
        <v>171</v>
      </c>
      <c r="C39" s="5" t="str">
        <f t="shared" si="0"/>
        <v>tall</v>
      </c>
      <c r="D39" s="6">
        <v>66.3</v>
      </c>
      <c r="E39" s="5" t="str">
        <f t="shared" si="1"/>
        <v>中位</v>
      </c>
      <c r="F39" s="7">
        <f t="shared" si="2"/>
        <v>22.673643172258132</v>
      </c>
      <c r="G39" s="5" t="str">
        <f t="shared" si="3"/>
        <v xml:space="preserve"> </v>
      </c>
      <c r="H39" s="5"/>
      <c r="I39" s="5">
        <f t="shared" si="4"/>
        <v>3</v>
      </c>
      <c r="J39" s="5">
        <f t="shared" si="5"/>
        <v>3</v>
      </c>
    </row>
    <row r="40" spans="1:10">
      <c r="A40" s="5">
        <v>37</v>
      </c>
      <c r="B40" s="5">
        <v>177</v>
      </c>
      <c r="C40" s="5" t="str">
        <f t="shared" si="0"/>
        <v>tall</v>
      </c>
      <c r="D40" s="6">
        <v>67.541737499999982</v>
      </c>
      <c r="E40" s="5" t="str">
        <f t="shared" si="1"/>
        <v>中位</v>
      </c>
      <c r="F40" s="7">
        <f t="shared" si="2"/>
        <v>21.558855214018951</v>
      </c>
      <c r="G40" s="5" t="str">
        <f t="shared" si="3"/>
        <v xml:space="preserve"> </v>
      </c>
      <c r="H40" s="5"/>
      <c r="I40" s="5">
        <f t="shared" si="4"/>
        <v>3</v>
      </c>
      <c r="J40" s="5">
        <f t="shared" si="5"/>
        <v>3</v>
      </c>
    </row>
    <row r="41" spans="1:10">
      <c r="A41" s="5">
        <v>38</v>
      </c>
      <c r="B41" s="5">
        <v>182</v>
      </c>
      <c r="C41" s="5" t="str">
        <f t="shared" si="0"/>
        <v>tall</v>
      </c>
      <c r="D41" s="6">
        <v>78.182082000000008</v>
      </c>
      <c r="E41" s="5" t="str">
        <f t="shared" si="1"/>
        <v>重い</v>
      </c>
      <c r="F41" s="7">
        <f t="shared" si="2"/>
        <v>23.602850501147206</v>
      </c>
      <c r="G41" s="5" t="str">
        <f t="shared" si="3"/>
        <v xml:space="preserve"> </v>
      </c>
      <c r="H41" s="5"/>
      <c r="I41" s="5">
        <f t="shared" si="4"/>
        <v>4</v>
      </c>
      <c r="J41" s="5">
        <f t="shared" si="5"/>
        <v>4</v>
      </c>
    </row>
    <row r="42" spans="1:10">
      <c r="A42" s="5">
        <v>39</v>
      </c>
      <c r="B42" s="5">
        <v>173</v>
      </c>
      <c r="C42" s="5" t="str">
        <f t="shared" si="0"/>
        <v>tall</v>
      </c>
      <c r="D42" s="6">
        <v>77.3</v>
      </c>
      <c r="E42" s="5" t="str">
        <f t="shared" si="1"/>
        <v>重い</v>
      </c>
      <c r="F42" s="7">
        <f t="shared" si="2"/>
        <v>25.827792442112997</v>
      </c>
      <c r="G42" s="5" t="str">
        <f t="shared" si="3"/>
        <v>肥満</v>
      </c>
      <c r="H42" s="5"/>
      <c r="I42" s="5">
        <f t="shared" si="4"/>
        <v>3</v>
      </c>
      <c r="J42" s="5">
        <f t="shared" si="5"/>
        <v>4</v>
      </c>
    </row>
    <row r="43" spans="1:10">
      <c r="A43" s="5">
        <v>40</v>
      </c>
      <c r="B43" s="5">
        <v>172</v>
      </c>
      <c r="C43" s="5" t="str">
        <f t="shared" si="0"/>
        <v>tall</v>
      </c>
      <c r="D43" s="6">
        <v>69.5</v>
      </c>
      <c r="E43" s="5" t="str">
        <f t="shared" si="1"/>
        <v>中位</v>
      </c>
      <c r="F43" s="7">
        <f t="shared" si="2"/>
        <v>23.492428339643052</v>
      </c>
      <c r="G43" s="5" t="str">
        <f t="shared" si="3"/>
        <v xml:space="preserve"> </v>
      </c>
      <c r="H43" s="5"/>
      <c r="I43" s="5">
        <f t="shared" si="4"/>
        <v>3</v>
      </c>
      <c r="J43" s="5">
        <f t="shared" si="5"/>
        <v>3</v>
      </c>
    </row>
    <row r="44" spans="1:10">
      <c r="A44" s="5">
        <v>41</v>
      </c>
      <c r="B44" s="5">
        <v>146</v>
      </c>
      <c r="C44" s="5" t="str">
        <f t="shared" si="0"/>
        <v>small</v>
      </c>
      <c r="D44" s="6">
        <v>39</v>
      </c>
      <c r="E44" s="5" t="str">
        <f t="shared" si="1"/>
        <v>軽い</v>
      </c>
      <c r="F44" s="7">
        <f t="shared" si="2"/>
        <v>18.296115593920064</v>
      </c>
      <c r="G44" s="5" t="str">
        <f t="shared" si="3"/>
        <v xml:space="preserve"> </v>
      </c>
      <c r="H44" s="5"/>
      <c r="I44" s="5">
        <f t="shared" si="4"/>
        <v>1</v>
      </c>
      <c r="J44" s="5">
        <f t="shared" si="5"/>
        <v>1</v>
      </c>
    </row>
    <row r="45" spans="1:10">
      <c r="A45" s="5">
        <v>42</v>
      </c>
      <c r="B45" s="5">
        <v>174</v>
      </c>
      <c r="C45" s="5" t="str">
        <f t="shared" si="0"/>
        <v>tall</v>
      </c>
      <c r="D45" s="6">
        <v>74.016784500000014</v>
      </c>
      <c r="E45" s="5" t="str">
        <f t="shared" si="1"/>
        <v>重い</v>
      </c>
      <c r="F45" s="7">
        <f t="shared" si="2"/>
        <v>24.447345917558465</v>
      </c>
      <c r="G45" s="5" t="str">
        <f t="shared" si="3"/>
        <v xml:space="preserve"> </v>
      </c>
      <c r="H45" s="5"/>
      <c r="I45" s="5">
        <f t="shared" si="4"/>
        <v>3</v>
      </c>
      <c r="J45" s="5">
        <f t="shared" si="5"/>
        <v>3</v>
      </c>
    </row>
    <row r="46" spans="1:10">
      <c r="A46" s="5">
        <v>43</v>
      </c>
      <c r="B46" s="5">
        <v>175</v>
      </c>
      <c r="C46" s="5" t="str">
        <f t="shared" si="0"/>
        <v>tall</v>
      </c>
      <c r="D46" s="6">
        <v>61</v>
      </c>
      <c r="E46" s="5" t="str">
        <f t="shared" si="1"/>
        <v>中位</v>
      </c>
      <c r="F46" s="7">
        <f t="shared" si="2"/>
        <v>19.918367346938776</v>
      </c>
      <c r="G46" s="5" t="str">
        <f t="shared" si="3"/>
        <v xml:space="preserve"> </v>
      </c>
      <c r="H46" s="5"/>
      <c r="I46" s="5">
        <f t="shared" si="4"/>
        <v>3</v>
      </c>
      <c r="J46" s="5">
        <f t="shared" si="5"/>
        <v>2</v>
      </c>
    </row>
    <row r="47" spans="1:10">
      <c r="A47" s="5">
        <v>44</v>
      </c>
      <c r="B47" s="5">
        <v>165</v>
      </c>
      <c r="C47" s="5" t="str">
        <f t="shared" si="0"/>
        <v>small</v>
      </c>
      <c r="D47" s="6">
        <v>85.5</v>
      </c>
      <c r="E47" s="5" t="str">
        <f t="shared" si="1"/>
        <v>重い</v>
      </c>
      <c r="F47" s="7">
        <f t="shared" si="2"/>
        <v>31.404958677685954</v>
      </c>
      <c r="G47" s="5" t="str">
        <f t="shared" si="3"/>
        <v>肥満</v>
      </c>
      <c r="H47" s="5"/>
      <c r="I47" s="5">
        <f t="shared" si="4"/>
        <v>3</v>
      </c>
      <c r="J47" s="5">
        <f t="shared" si="5"/>
        <v>4</v>
      </c>
    </row>
    <row r="48" spans="1:10">
      <c r="A48" s="5">
        <v>45</v>
      </c>
      <c r="B48" s="5">
        <v>163</v>
      </c>
      <c r="C48" s="5" t="str">
        <f t="shared" si="0"/>
        <v>small</v>
      </c>
      <c r="D48" s="6">
        <v>51.918513750000002</v>
      </c>
      <c r="E48" s="5" t="str">
        <f t="shared" si="1"/>
        <v>軽い</v>
      </c>
      <c r="F48" s="7">
        <f t="shared" si="2"/>
        <v>19.541011611276303</v>
      </c>
      <c r="G48" s="5" t="str">
        <f t="shared" si="3"/>
        <v xml:space="preserve"> </v>
      </c>
      <c r="H48" s="5"/>
      <c r="I48" s="5">
        <f t="shared" si="4"/>
        <v>2</v>
      </c>
      <c r="J48" s="5">
        <f t="shared" si="5"/>
        <v>1</v>
      </c>
    </row>
    <row r="49" spans="1:10">
      <c r="A49" s="5">
        <v>46</v>
      </c>
      <c r="B49" s="5">
        <v>166</v>
      </c>
      <c r="C49" s="5" t="str">
        <f t="shared" si="0"/>
        <v>tall</v>
      </c>
      <c r="D49" s="6">
        <v>69.171580500000019</v>
      </c>
      <c r="E49" s="5" t="str">
        <f t="shared" si="1"/>
        <v>中位</v>
      </c>
      <c r="F49" s="7">
        <f t="shared" si="2"/>
        <v>25.102184823631884</v>
      </c>
      <c r="G49" s="5" t="str">
        <f t="shared" si="3"/>
        <v>肥満</v>
      </c>
      <c r="H49" s="5"/>
      <c r="I49" s="5">
        <f t="shared" si="4"/>
        <v>3</v>
      </c>
      <c r="J49" s="5">
        <f t="shared" si="5"/>
        <v>3</v>
      </c>
    </row>
    <row r="50" spans="1:10">
      <c r="A50" s="5">
        <v>47</v>
      </c>
      <c r="B50" s="5">
        <v>185</v>
      </c>
      <c r="C50" s="5" t="str">
        <f t="shared" si="0"/>
        <v>tall</v>
      </c>
      <c r="D50" s="6">
        <v>98.55</v>
      </c>
      <c r="E50" s="5" t="str">
        <f t="shared" si="1"/>
        <v>重い</v>
      </c>
      <c r="F50" s="7">
        <f t="shared" si="2"/>
        <v>28.794740686632576</v>
      </c>
      <c r="G50" s="5" t="str">
        <f t="shared" si="3"/>
        <v>肥満</v>
      </c>
      <c r="H50" s="5"/>
      <c r="I50" s="5">
        <f t="shared" si="4"/>
        <v>4</v>
      </c>
      <c r="J50" s="5">
        <f t="shared" si="5"/>
        <v>4</v>
      </c>
    </row>
    <row r="51" spans="1:10">
      <c r="A51" s="5">
        <v>48</v>
      </c>
      <c r="B51" s="5">
        <v>155</v>
      </c>
      <c r="C51" s="5" t="str">
        <f t="shared" si="0"/>
        <v>small</v>
      </c>
      <c r="D51" s="6">
        <v>74.797875000000005</v>
      </c>
      <c r="E51" s="5" t="str">
        <f t="shared" si="1"/>
        <v>重い</v>
      </c>
      <c r="F51" s="7">
        <f t="shared" si="2"/>
        <v>31.133350676378772</v>
      </c>
      <c r="G51" s="5" t="str">
        <f t="shared" si="3"/>
        <v>肥満</v>
      </c>
      <c r="H51" s="5"/>
      <c r="I51" s="5">
        <f t="shared" si="4"/>
        <v>2</v>
      </c>
      <c r="J51" s="5">
        <f t="shared" si="5"/>
        <v>3</v>
      </c>
    </row>
    <row r="52" spans="1:10">
      <c r="A52" s="5">
        <v>49</v>
      </c>
      <c r="B52" s="5">
        <v>133</v>
      </c>
      <c r="C52" s="5" t="str">
        <f t="shared" si="0"/>
        <v>small</v>
      </c>
      <c r="D52" s="6">
        <v>38.386237499999993</v>
      </c>
      <c r="E52" s="5" t="str">
        <f t="shared" si="1"/>
        <v>軽い</v>
      </c>
      <c r="F52" s="7">
        <f t="shared" si="2"/>
        <v>21.700626095313467</v>
      </c>
      <c r="G52" s="5" t="str">
        <f t="shared" si="3"/>
        <v xml:space="preserve"> </v>
      </c>
      <c r="H52" s="5"/>
      <c r="I52" s="5">
        <f t="shared" si="4"/>
        <v>1</v>
      </c>
      <c r="J52" s="5">
        <f t="shared" si="5"/>
        <v>1</v>
      </c>
    </row>
    <row r="53" spans="1:10">
      <c r="A53" s="5">
        <v>50</v>
      </c>
      <c r="B53" s="5">
        <v>164</v>
      </c>
      <c r="C53" s="5" t="str">
        <f t="shared" si="0"/>
        <v>small</v>
      </c>
      <c r="D53" s="6">
        <v>65.663528159999998</v>
      </c>
      <c r="E53" s="5" t="str">
        <f t="shared" si="1"/>
        <v>中位</v>
      </c>
      <c r="F53" s="7">
        <f t="shared" si="2"/>
        <v>24.413863831052947</v>
      </c>
      <c r="G53" s="5" t="str">
        <f t="shared" si="3"/>
        <v xml:space="preserve"> </v>
      </c>
      <c r="H53" s="5"/>
      <c r="I53" s="5">
        <f t="shared" si="4"/>
        <v>2</v>
      </c>
      <c r="J53" s="5">
        <f t="shared" si="5"/>
        <v>3</v>
      </c>
    </row>
    <row r="54" spans="1:10">
      <c r="A54" s="5">
        <v>51</v>
      </c>
      <c r="B54" s="5">
        <v>171</v>
      </c>
      <c r="C54" s="5" t="str">
        <f t="shared" si="0"/>
        <v>tall</v>
      </c>
      <c r="D54" s="6">
        <v>84.594800000000021</v>
      </c>
      <c r="E54" s="5" t="str">
        <f t="shared" si="1"/>
        <v>重い</v>
      </c>
      <c r="F54" s="7">
        <f t="shared" si="2"/>
        <v>28.930200745528548</v>
      </c>
      <c r="G54" s="5" t="str">
        <f t="shared" si="3"/>
        <v>肥満</v>
      </c>
      <c r="H54" s="5"/>
      <c r="I54" s="5">
        <f t="shared" si="4"/>
        <v>3</v>
      </c>
      <c r="J54" s="5">
        <f t="shared" si="5"/>
        <v>4</v>
      </c>
    </row>
    <row r="55" spans="1:10">
      <c r="A55" s="5">
        <v>52</v>
      </c>
      <c r="B55" s="5">
        <v>160</v>
      </c>
      <c r="C55" s="5" t="str">
        <f t="shared" si="0"/>
        <v>small</v>
      </c>
      <c r="D55" s="6">
        <v>65.28</v>
      </c>
      <c r="E55" s="5" t="str">
        <f t="shared" si="1"/>
        <v>中位</v>
      </c>
      <c r="F55" s="7">
        <f t="shared" si="2"/>
        <v>25.499999999999996</v>
      </c>
      <c r="G55" s="5" t="str">
        <f t="shared" si="3"/>
        <v>肥満</v>
      </c>
      <c r="H55" s="5"/>
      <c r="I55" s="5">
        <f t="shared" si="4"/>
        <v>2</v>
      </c>
      <c r="J55" s="5">
        <f t="shared" si="5"/>
        <v>3</v>
      </c>
    </row>
    <row r="56" spans="1:10">
      <c r="A56" s="5">
        <v>53</v>
      </c>
      <c r="B56" s="5">
        <v>154</v>
      </c>
      <c r="C56" s="5" t="str">
        <f t="shared" si="0"/>
        <v>small</v>
      </c>
      <c r="D56" s="6">
        <v>51.268949999999997</v>
      </c>
      <c r="E56" s="5" t="str">
        <f t="shared" si="1"/>
        <v>軽い</v>
      </c>
      <c r="F56" s="7">
        <f t="shared" si="2"/>
        <v>21.617874009107776</v>
      </c>
      <c r="G56" s="5" t="str">
        <f t="shared" si="3"/>
        <v xml:space="preserve"> </v>
      </c>
      <c r="H56" s="5"/>
      <c r="I56" s="5">
        <f t="shared" si="4"/>
        <v>2</v>
      </c>
      <c r="J56" s="5">
        <f t="shared" si="5"/>
        <v>1</v>
      </c>
    </row>
    <row r="57" spans="1:10">
      <c r="A57" s="5">
        <v>54</v>
      </c>
      <c r="B57" s="5">
        <v>179</v>
      </c>
      <c r="C57" s="5" t="str">
        <f t="shared" si="0"/>
        <v>tall</v>
      </c>
      <c r="D57" s="6">
        <v>75.668980500000004</v>
      </c>
      <c r="E57" s="5" t="str">
        <f t="shared" si="1"/>
        <v>重い</v>
      </c>
      <c r="F57" s="7">
        <f t="shared" si="2"/>
        <v>23.61629802440623</v>
      </c>
      <c r="G57" s="5" t="str">
        <f t="shared" si="3"/>
        <v xml:space="preserve"> </v>
      </c>
      <c r="H57" s="5"/>
      <c r="I57" s="5">
        <f t="shared" si="4"/>
        <v>3</v>
      </c>
      <c r="J57" s="5">
        <f t="shared" si="5"/>
        <v>4</v>
      </c>
    </row>
    <row r="58" spans="1:10">
      <c r="A58" s="5">
        <v>55</v>
      </c>
      <c r="B58" s="5">
        <v>156</v>
      </c>
      <c r="C58" s="5" t="str">
        <f t="shared" si="0"/>
        <v>small</v>
      </c>
      <c r="D58" s="6">
        <v>44</v>
      </c>
      <c r="E58" s="5" t="str">
        <f t="shared" si="1"/>
        <v>軽い</v>
      </c>
      <c r="F58" s="7">
        <f t="shared" si="2"/>
        <v>18.080210387902692</v>
      </c>
      <c r="G58" s="5" t="str">
        <f t="shared" si="3"/>
        <v xml:space="preserve"> </v>
      </c>
      <c r="H58" s="5"/>
      <c r="I58" s="5">
        <f t="shared" si="4"/>
        <v>2</v>
      </c>
      <c r="J58" s="5">
        <f t="shared" si="5"/>
        <v>1</v>
      </c>
    </row>
    <row r="59" spans="1:10">
      <c r="A59" s="5">
        <v>56</v>
      </c>
      <c r="B59" s="5">
        <v>175</v>
      </c>
      <c r="C59" s="5" t="str">
        <f t="shared" si="0"/>
        <v>tall</v>
      </c>
      <c r="D59" s="6">
        <v>83.3</v>
      </c>
      <c r="E59" s="5" t="str">
        <f t="shared" si="1"/>
        <v>重い</v>
      </c>
      <c r="F59" s="7">
        <f t="shared" si="2"/>
        <v>27.2</v>
      </c>
      <c r="G59" s="5" t="str">
        <f t="shared" si="3"/>
        <v>肥満</v>
      </c>
      <c r="H59" s="5"/>
      <c r="I59" s="5">
        <f t="shared" si="4"/>
        <v>3</v>
      </c>
      <c r="J59" s="5">
        <f t="shared" si="5"/>
        <v>4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練習1(水準分け)</vt:lpstr>
    </vt:vector>
  </TitlesOfParts>
  <Company>大阪大谷大学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nicky</dc:creator>
  <cp:lastModifiedBy>jamoliddin .</cp:lastModifiedBy>
  <cp:lastPrinted>2013-06-18T01:38:10Z</cp:lastPrinted>
  <dcterms:created xsi:type="dcterms:W3CDTF">2008-06-04T11:22:36Z</dcterms:created>
  <dcterms:modified xsi:type="dcterms:W3CDTF">2026-06-21T17:58:59Z</dcterms:modified>
</cp:coreProperties>
</file>