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Okayama\"/>
    </mc:Choice>
  </mc:AlternateContent>
  <xr:revisionPtr revIDLastSave="0" documentId="13_ncr:1_{3BC321A7-9C1F-484E-A435-32903A149E96}" xr6:coauthVersionLast="47" xr6:coauthVersionMax="47" xr10:uidLastSave="{00000000-0000-0000-0000-000000000000}"/>
  <bookViews>
    <workbookView xWindow="-120" yWindow="-120" windowWidth="29040" windowHeight="15720" tabRatio="714" xr2:uid="{58D19C31-D71C-45A9-9432-BCA362CA734D}"/>
  </bookViews>
  <sheets>
    <sheet name="演習1（標準偏差）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5" l="1"/>
  <c r="J21" i="5"/>
  <c r="H21" i="5"/>
  <c r="F21" i="5"/>
  <c r="D21" i="5"/>
  <c r="E21" i="5"/>
  <c r="G21" i="5"/>
  <c r="I21" i="5"/>
  <c r="C21" i="5"/>
  <c r="I20" i="5"/>
  <c r="H20" i="5"/>
  <c r="G20" i="5"/>
  <c r="J16" i="5"/>
  <c r="H16" i="5"/>
  <c r="F16" i="5"/>
  <c r="E20" i="5" s="1"/>
  <c r="F20" i="5"/>
  <c r="D20" i="5"/>
  <c r="C20" i="5"/>
  <c r="J5" i="5"/>
  <c r="J6" i="5"/>
  <c r="J7" i="5"/>
  <c r="J8" i="5"/>
  <c r="J9" i="5"/>
  <c r="J10" i="5"/>
  <c r="J11" i="5"/>
  <c r="J12" i="5"/>
  <c r="J13" i="5"/>
  <c r="J14" i="5"/>
  <c r="J15" i="5"/>
  <c r="J4" i="5"/>
  <c r="H5" i="5"/>
  <c r="H6" i="5"/>
  <c r="H7" i="5"/>
  <c r="H8" i="5"/>
  <c r="H9" i="5"/>
  <c r="H10" i="5"/>
  <c r="H11" i="5"/>
  <c r="H12" i="5"/>
  <c r="H13" i="5"/>
  <c r="H14" i="5"/>
  <c r="H15" i="5"/>
  <c r="H4" i="5"/>
  <c r="E19" i="5"/>
  <c r="F9" i="5" s="1"/>
  <c r="G19" i="5"/>
  <c r="I19" i="5"/>
  <c r="E18" i="5"/>
  <c r="G18" i="5"/>
  <c r="I18" i="5"/>
  <c r="C18" i="5"/>
  <c r="C19" i="5"/>
  <c r="F5" i="5"/>
  <c r="F7" i="5"/>
  <c r="F8" i="5"/>
  <c r="F10" i="5"/>
  <c r="F11" i="5"/>
  <c r="F12" i="5"/>
  <c r="F13" i="5"/>
  <c r="C16" i="5"/>
  <c r="E16" i="5"/>
  <c r="G16" i="5"/>
  <c r="I16" i="5"/>
  <c r="F15" i="5" l="1"/>
  <c r="F14" i="5"/>
  <c r="F6" i="5"/>
  <c r="F4" i="5"/>
  <c r="D7" i="5"/>
  <c r="D15" i="5"/>
  <c r="D14" i="5"/>
  <c r="D8" i="5"/>
  <c r="D4" i="5"/>
  <c r="D9" i="5"/>
  <c r="D10" i="5"/>
  <c r="D11" i="5"/>
  <c r="D6" i="5"/>
  <c r="D12" i="5"/>
  <c r="D5" i="5"/>
  <c r="D13" i="5"/>
  <c r="D16" i="5" l="1"/>
</calcChain>
</file>

<file path=xl/sharedStrings.xml><?xml version="1.0" encoding="utf-8"?>
<sst xmlns="http://schemas.openxmlformats.org/spreadsheetml/2006/main" count="29" uniqueCount="26">
  <si>
    <t>出席番号</t>
    <rPh sb="0" eb="2">
      <t>シュッセキ</t>
    </rPh>
    <rPh sb="2" eb="4">
      <t>バンゴウ</t>
    </rPh>
    <phoneticPr fontId="1"/>
  </si>
  <si>
    <t>なまえ</t>
    <phoneticPr fontId="1"/>
  </si>
  <si>
    <t>国語</t>
    <rPh sb="0" eb="2">
      <t>コクゴ</t>
    </rPh>
    <phoneticPr fontId="1"/>
  </si>
  <si>
    <t>算数</t>
    <rPh sb="0" eb="2">
      <t>サンスウ</t>
    </rPh>
    <phoneticPr fontId="1"/>
  </si>
  <si>
    <t>理科</t>
    <rPh sb="0" eb="2">
      <t>リカ</t>
    </rPh>
    <phoneticPr fontId="1"/>
  </si>
  <si>
    <t>社会</t>
    <rPh sb="0" eb="2">
      <t>シャカイ</t>
    </rPh>
    <phoneticPr fontId="1"/>
  </si>
  <si>
    <t>たけち　はんぺいた</t>
    <phoneticPr fontId="1"/>
  </si>
  <si>
    <t>かつ　かいしゅう</t>
    <phoneticPr fontId="1"/>
  </si>
  <si>
    <t>おかだ　いぞう</t>
    <phoneticPr fontId="1"/>
  </si>
  <si>
    <t>ひじかた　としぞう</t>
    <phoneticPr fontId="1"/>
  </si>
  <si>
    <t>とくがわ　よしのぶ</t>
    <phoneticPr fontId="1"/>
  </si>
  <si>
    <t>かつら　こごろう</t>
    <phoneticPr fontId="1"/>
  </si>
  <si>
    <t>さかもと　りょうま</t>
    <phoneticPr fontId="1"/>
  </si>
  <si>
    <t>たかすぎ　しんさく</t>
    <phoneticPr fontId="1"/>
  </si>
  <si>
    <t>いわさき　やたろう</t>
    <phoneticPr fontId="1"/>
  </si>
  <si>
    <t>こんどう　いさみ</t>
    <phoneticPr fontId="1"/>
  </si>
  <si>
    <t>やまうち　ようどう</t>
    <phoneticPr fontId="1"/>
  </si>
  <si>
    <t>さいごう　たかもり</t>
    <phoneticPr fontId="1"/>
  </si>
  <si>
    <t>合計</t>
    <rPh sb="0" eb="2">
      <t>ゴウケイ</t>
    </rPh>
    <phoneticPr fontId="1"/>
  </si>
  <si>
    <t>データ数</t>
    <rPh sb="3" eb="4">
      <t>スウ</t>
    </rPh>
    <phoneticPr fontId="1"/>
  </si>
  <si>
    <t>平均(式)</t>
    <rPh sb="0" eb="2">
      <t>ヘイキン</t>
    </rPh>
    <rPh sb="3" eb="4">
      <t>シキ</t>
    </rPh>
    <phoneticPr fontId="1"/>
  </si>
  <si>
    <t>平均</t>
    <rPh sb="0" eb="2">
      <t>ヘイキン</t>
    </rPh>
    <phoneticPr fontId="1"/>
  </si>
  <si>
    <t>偏差平方</t>
    <rPh sb="0" eb="4">
      <t>ヘンサヘイホウ</t>
    </rPh>
    <phoneticPr fontId="1"/>
  </si>
  <si>
    <t>不偏分散</t>
    <rPh sb="0" eb="2">
      <t>フヘン</t>
    </rPh>
    <rPh sb="2" eb="4">
      <t>ブンサン</t>
    </rPh>
    <phoneticPr fontId="1"/>
  </si>
  <si>
    <t>不偏標準偏差</t>
    <rPh sb="0" eb="2">
      <t>フヘン</t>
    </rPh>
    <rPh sb="2" eb="4">
      <t>ヒョウジュン</t>
    </rPh>
    <rPh sb="4" eb="6">
      <t>ヘンサ</t>
    </rPh>
    <phoneticPr fontId="1"/>
  </si>
  <si>
    <t>データを読み解く（第2回）平均と標準偏差（配布用）</t>
    <rPh sb="4" eb="5">
      <t>ヨ</t>
    </rPh>
    <rPh sb="6" eb="7">
      <t>ト</t>
    </rPh>
    <rPh sb="9" eb="10">
      <t>ダイ</t>
    </rPh>
    <rPh sb="11" eb="12">
      <t>カイ</t>
    </rPh>
    <rPh sb="13" eb="15">
      <t>ヘイキン</t>
    </rPh>
    <rPh sb="16" eb="18">
      <t>ヒョウジュン</t>
    </rPh>
    <rPh sb="18" eb="20">
      <t>ヘンサ</t>
    </rPh>
    <rPh sb="21" eb="23">
      <t>ハイフ</t>
    </rPh>
    <rPh sb="23" eb="24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</si>
</sst>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00"/>
  </numFmts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Yu Gothic"/>
      <family val="2"/>
      <charset val="204"/>
    </font>
    <font>
      <b/>
      <sz val="11"/>
      <color indexed="10"/>
      <name val="Yu Gothic"/>
      <family val="2"/>
      <charset val="204"/>
    </font>
    <font>
      <sz val="11"/>
      <color indexed="12"/>
      <name val="Yu Gothic"/>
      <family val="2"/>
      <charset val="204"/>
    </font>
    <font>
      <sz val="11"/>
      <color indexed="10"/>
      <name val="Yu Gothic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0" xfId="0" applyFont="1" applyBorder="1">
      <alignment vertical="center"/>
    </xf>
    <xf numFmtId="164" fontId="2" fillId="0" borderId="0" xfId="0" quotePrefix="1" applyNumberFormat="1" applyFont="1" applyBorder="1">
      <alignment vertical="center"/>
    </xf>
    <xf numFmtId="164" fontId="2" fillId="0" borderId="0" xfId="0" applyNumberFormat="1" applyFont="1" applyBorder="1">
      <alignment vertical="center"/>
    </xf>
    <xf numFmtId="2" fontId="2" fillId="0" borderId="0" xfId="0" applyNumberFormat="1" applyFont="1" applyBorder="1">
      <alignment vertical="center"/>
    </xf>
    <xf numFmtId="2" fontId="2" fillId="0" borderId="5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164" fontId="2" fillId="0" borderId="7" xfId="0" quotePrefix="1" applyNumberFormat="1" applyFont="1" applyBorder="1">
      <alignment vertical="center"/>
    </xf>
    <xf numFmtId="164" fontId="2" fillId="0" borderId="7" xfId="0" applyNumberFormat="1" applyFont="1" applyBorder="1">
      <alignment vertical="center"/>
    </xf>
    <xf numFmtId="2" fontId="2" fillId="0" borderId="7" xfId="0" applyNumberFormat="1" applyFont="1" applyBorder="1">
      <alignment vertical="center"/>
    </xf>
    <xf numFmtId="2" fontId="2" fillId="0" borderId="8" xfId="0" applyNumberFormat="1" applyFont="1" applyBorder="1">
      <alignment vertical="center"/>
    </xf>
    <xf numFmtId="164" fontId="2" fillId="0" borderId="2" xfId="0" applyNumberFormat="1" applyFont="1" applyBorder="1">
      <alignment vertical="center"/>
    </xf>
    <xf numFmtId="2" fontId="2" fillId="0" borderId="2" xfId="0" applyNumberFormat="1" applyFont="1" applyBorder="1">
      <alignment vertical="center"/>
    </xf>
    <xf numFmtId="2" fontId="2" fillId="0" borderId="3" xfId="0" applyNumberFormat="1" applyFont="1" applyBorder="1">
      <alignment vertical="center"/>
    </xf>
    <xf numFmtId="0" fontId="2" fillId="0" borderId="5" xfId="0" applyFont="1" applyBorder="1">
      <alignment vertical="center"/>
    </xf>
    <xf numFmtId="0" fontId="3" fillId="0" borderId="4" xfId="0" applyFont="1" applyBorder="1">
      <alignment vertical="center"/>
    </xf>
    <xf numFmtId="165" fontId="2" fillId="0" borderId="0" xfId="0" applyNumberFormat="1" applyFont="1" applyBorder="1">
      <alignment vertical="center"/>
    </xf>
    <xf numFmtId="2" fontId="4" fillId="0" borderId="5" xfId="0" applyNumberFormat="1" applyFont="1" applyBorder="1">
      <alignment vertical="center"/>
    </xf>
    <xf numFmtId="0" fontId="5" fillId="0" borderId="7" xfId="0" applyFont="1" applyBorder="1">
      <alignment vertical="center"/>
    </xf>
    <xf numFmtId="0" fontId="4" fillId="0" borderId="8" xfId="0" applyFont="1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92E8-524B-41B6-8B9E-DAA53C9015E4}">
  <dimension ref="A1:J22"/>
  <sheetViews>
    <sheetView tabSelected="1" zoomScale="115" zoomScaleNormal="115" workbookViewId="0">
      <selection activeCell="M16" sqref="M16"/>
    </sheetView>
  </sheetViews>
  <sheetFormatPr defaultRowHeight="18.75"/>
  <cols>
    <col min="1" max="1" width="9" style="1"/>
    <col min="2" max="2" width="16.5" style="1" customWidth="1"/>
    <col min="3" max="3" width="9" style="1"/>
    <col min="4" max="4" width="12.5" style="1" customWidth="1"/>
    <col min="5" max="5" width="14.375" style="1" customWidth="1"/>
    <col min="6" max="6" width="12.125" style="1" customWidth="1"/>
    <col min="7" max="16384" width="9" style="1"/>
  </cols>
  <sheetData>
    <row r="1" spans="1:10">
      <c r="A1" s="1" t="s">
        <v>25</v>
      </c>
    </row>
    <row r="2" spans="1:10" ht="19.5" thickBot="1"/>
    <row r="3" spans="1:10">
      <c r="A3" s="2" t="s">
        <v>0</v>
      </c>
      <c r="B3" s="3" t="s">
        <v>1</v>
      </c>
      <c r="C3" s="3" t="s">
        <v>2</v>
      </c>
      <c r="D3" s="3" t="s">
        <v>22</v>
      </c>
      <c r="E3" s="3" t="s">
        <v>3</v>
      </c>
      <c r="F3" s="3" t="s">
        <v>22</v>
      </c>
      <c r="G3" s="3" t="s">
        <v>4</v>
      </c>
      <c r="H3" s="3" t="s">
        <v>22</v>
      </c>
      <c r="I3" s="3" t="s">
        <v>5</v>
      </c>
      <c r="J3" s="4" t="s">
        <v>22</v>
      </c>
    </row>
    <row r="4" spans="1:10">
      <c r="A4" s="5">
        <v>1</v>
      </c>
      <c r="B4" s="6" t="s">
        <v>14</v>
      </c>
      <c r="C4" s="6">
        <v>52</v>
      </c>
      <c r="D4" s="7">
        <f>($C$19-C4)^2</f>
        <v>203.0625</v>
      </c>
      <c r="E4" s="6">
        <v>49</v>
      </c>
      <c r="F4" s="8">
        <f>($E$19-E4)^2</f>
        <v>2.7777777777777697</v>
      </c>
      <c r="G4" s="6">
        <v>29</v>
      </c>
      <c r="H4" s="9">
        <f>($G$19-G4)^2</f>
        <v>1290.0069444444448</v>
      </c>
      <c r="I4" s="6">
        <v>76</v>
      </c>
      <c r="J4" s="10">
        <f>($I$19-I4)^2</f>
        <v>220.02777777777786</v>
      </c>
    </row>
    <row r="5" spans="1:10">
      <c r="A5" s="5">
        <v>2</v>
      </c>
      <c r="B5" s="6" t="s">
        <v>8</v>
      </c>
      <c r="C5" s="6">
        <v>88</v>
      </c>
      <c r="D5" s="7">
        <f t="shared" ref="D5:D15" si="0">($C$19-C5)^2</f>
        <v>473.0625</v>
      </c>
      <c r="E5" s="6">
        <v>64</v>
      </c>
      <c r="F5" s="8">
        <f t="shared" ref="F5:F16" si="1">($E$19-E5)^2</f>
        <v>177.77777777777783</v>
      </c>
      <c r="G5" s="6">
        <v>56</v>
      </c>
      <c r="H5" s="9">
        <f t="shared" ref="H5:H16" si="2">($G$19-G5)^2</f>
        <v>79.506944444444528</v>
      </c>
      <c r="I5" s="6">
        <v>56</v>
      </c>
      <c r="J5" s="10">
        <f t="shared" ref="J5:J16" si="3">($I$19-I5)^2</f>
        <v>26.694444444444422</v>
      </c>
    </row>
    <row r="6" spans="1:10">
      <c r="A6" s="5">
        <v>3</v>
      </c>
      <c r="B6" s="6" t="s">
        <v>7</v>
      </c>
      <c r="C6" s="6">
        <v>96</v>
      </c>
      <c r="D6" s="7">
        <f t="shared" si="0"/>
        <v>885.0625</v>
      </c>
      <c r="E6" s="6">
        <v>54</v>
      </c>
      <c r="F6" s="8">
        <f t="shared" si="1"/>
        <v>11.111111111111127</v>
      </c>
      <c r="G6" s="6">
        <v>99</v>
      </c>
      <c r="H6" s="9">
        <f t="shared" si="2"/>
        <v>1161.6736111111109</v>
      </c>
      <c r="I6" s="6">
        <v>53</v>
      </c>
      <c r="J6" s="10">
        <f t="shared" si="3"/>
        <v>66.6944444444444</v>
      </c>
    </row>
    <row r="7" spans="1:10">
      <c r="A7" s="5">
        <v>4</v>
      </c>
      <c r="B7" s="6" t="s">
        <v>11</v>
      </c>
      <c r="C7" s="6">
        <v>70</v>
      </c>
      <c r="D7" s="7">
        <f t="shared" si="0"/>
        <v>14.0625</v>
      </c>
      <c r="E7" s="6">
        <v>32</v>
      </c>
      <c r="F7" s="8">
        <f t="shared" si="1"/>
        <v>348.44444444444434</v>
      </c>
      <c r="G7" s="6">
        <v>80</v>
      </c>
      <c r="H7" s="9">
        <f t="shared" si="2"/>
        <v>227.50694444444431</v>
      </c>
      <c r="I7" s="6">
        <v>86</v>
      </c>
      <c r="J7" s="10">
        <f t="shared" si="3"/>
        <v>616.69444444444457</v>
      </c>
    </row>
    <row r="8" spans="1:10">
      <c r="A8" s="5">
        <v>5</v>
      </c>
      <c r="B8" s="6" t="s">
        <v>15</v>
      </c>
      <c r="C8" s="6">
        <v>42</v>
      </c>
      <c r="D8" s="7">
        <f t="shared" si="0"/>
        <v>588.0625</v>
      </c>
      <c r="E8" s="6">
        <v>49</v>
      </c>
      <c r="F8" s="8">
        <f t="shared" si="1"/>
        <v>2.7777777777777697</v>
      </c>
      <c r="G8" s="6">
        <v>74</v>
      </c>
      <c r="H8" s="9">
        <f t="shared" si="2"/>
        <v>82.506944444444358</v>
      </c>
      <c r="I8" s="6">
        <v>36</v>
      </c>
      <c r="J8" s="10">
        <f t="shared" si="3"/>
        <v>633.36111111111097</v>
      </c>
    </row>
    <row r="9" spans="1:10">
      <c r="A9" s="5">
        <v>6</v>
      </c>
      <c r="B9" s="6" t="s">
        <v>17</v>
      </c>
      <c r="C9" s="6">
        <v>25</v>
      </c>
      <c r="D9" s="7">
        <f t="shared" si="0"/>
        <v>1701.5625</v>
      </c>
      <c r="E9" s="6">
        <v>67</v>
      </c>
      <c r="F9" s="8">
        <f t="shared" si="1"/>
        <v>266.77777777777783</v>
      </c>
      <c r="G9" s="6">
        <v>49</v>
      </c>
      <c r="H9" s="9">
        <f t="shared" si="2"/>
        <v>253.34027777777794</v>
      </c>
      <c r="I9" s="6">
        <v>41</v>
      </c>
      <c r="J9" s="10">
        <f t="shared" si="3"/>
        <v>406.69444444444434</v>
      </c>
    </row>
    <row r="10" spans="1:10">
      <c r="A10" s="5">
        <v>7</v>
      </c>
      <c r="B10" s="6" t="s">
        <v>12</v>
      </c>
      <c r="C10" s="6">
        <v>69</v>
      </c>
      <c r="D10" s="7">
        <f t="shared" si="0"/>
        <v>7.5625</v>
      </c>
      <c r="E10" s="6">
        <v>49</v>
      </c>
      <c r="F10" s="8">
        <f t="shared" si="1"/>
        <v>2.7777777777777697</v>
      </c>
      <c r="G10" s="6">
        <v>62</v>
      </c>
      <c r="H10" s="9">
        <f t="shared" si="2"/>
        <v>8.5069444444444713</v>
      </c>
      <c r="I10" s="6">
        <v>76</v>
      </c>
      <c r="J10" s="10">
        <f t="shared" si="3"/>
        <v>220.02777777777786</v>
      </c>
    </row>
    <row r="11" spans="1:10">
      <c r="A11" s="5">
        <v>8</v>
      </c>
      <c r="B11" s="6" t="s">
        <v>13</v>
      </c>
      <c r="C11" s="6">
        <v>60</v>
      </c>
      <c r="D11" s="7">
        <f t="shared" si="0"/>
        <v>39.0625</v>
      </c>
      <c r="E11" s="6">
        <v>36</v>
      </c>
      <c r="F11" s="8">
        <f t="shared" si="1"/>
        <v>215.11111111111103</v>
      </c>
      <c r="G11" s="6">
        <v>73</v>
      </c>
      <c r="H11" s="9">
        <f t="shared" si="2"/>
        <v>65.3402777777777</v>
      </c>
      <c r="I11" s="6">
        <v>60</v>
      </c>
      <c r="J11" s="10">
        <f t="shared" si="3"/>
        <v>1.3611111111111056</v>
      </c>
    </row>
    <row r="12" spans="1:10">
      <c r="A12" s="5">
        <v>9</v>
      </c>
      <c r="B12" s="6" t="s">
        <v>6</v>
      </c>
      <c r="C12" s="6">
        <v>100</v>
      </c>
      <c r="D12" s="7">
        <f t="shared" si="0"/>
        <v>1139.0625</v>
      </c>
      <c r="E12" s="6">
        <v>70</v>
      </c>
      <c r="F12" s="8">
        <f t="shared" si="1"/>
        <v>373.77777777777789</v>
      </c>
      <c r="G12" s="6">
        <v>75</v>
      </c>
      <c r="H12" s="9">
        <f t="shared" si="2"/>
        <v>101.67361111111101</v>
      </c>
      <c r="I12" s="6">
        <v>63</v>
      </c>
      <c r="J12" s="10">
        <f t="shared" si="3"/>
        <v>3.3611111111111196</v>
      </c>
    </row>
    <row r="13" spans="1:10">
      <c r="A13" s="5">
        <v>10</v>
      </c>
      <c r="B13" s="6" t="s">
        <v>10</v>
      </c>
      <c r="C13" s="6">
        <v>76</v>
      </c>
      <c r="D13" s="7">
        <f t="shared" si="0"/>
        <v>95.0625</v>
      </c>
      <c r="E13" s="6">
        <v>32</v>
      </c>
      <c r="F13" s="8">
        <f t="shared" si="1"/>
        <v>348.44444444444434</v>
      </c>
      <c r="G13" s="6">
        <v>65</v>
      </c>
      <c r="H13" s="9">
        <f t="shared" si="2"/>
        <v>6.9444444444436548E-3</v>
      </c>
      <c r="I13" s="6">
        <v>88</v>
      </c>
      <c r="J13" s="10">
        <f t="shared" si="3"/>
        <v>720.02777777777794</v>
      </c>
    </row>
    <row r="14" spans="1:10">
      <c r="A14" s="5">
        <v>11</v>
      </c>
      <c r="B14" s="6" t="s">
        <v>9</v>
      </c>
      <c r="C14" s="6">
        <v>79</v>
      </c>
      <c r="D14" s="7">
        <f t="shared" si="0"/>
        <v>162.5625</v>
      </c>
      <c r="E14" s="6">
        <v>70</v>
      </c>
      <c r="F14" s="8">
        <f t="shared" si="1"/>
        <v>373.77777777777789</v>
      </c>
      <c r="G14" s="6">
        <v>28</v>
      </c>
      <c r="H14" s="9">
        <f t="shared" si="2"/>
        <v>1362.8402777777781</v>
      </c>
      <c r="I14" s="6">
        <v>63</v>
      </c>
      <c r="J14" s="10">
        <f t="shared" si="3"/>
        <v>3.3611111111111196</v>
      </c>
    </row>
    <row r="15" spans="1:10" ht="19.5" thickBot="1">
      <c r="A15" s="11">
        <v>12</v>
      </c>
      <c r="B15" s="12" t="s">
        <v>16</v>
      </c>
      <c r="C15" s="12">
        <v>38</v>
      </c>
      <c r="D15" s="13">
        <f t="shared" si="0"/>
        <v>798.0625</v>
      </c>
      <c r="E15" s="12">
        <v>36</v>
      </c>
      <c r="F15" s="14">
        <f t="shared" si="1"/>
        <v>215.11111111111103</v>
      </c>
      <c r="G15" s="12">
        <v>89</v>
      </c>
      <c r="H15" s="15">
        <f t="shared" si="2"/>
        <v>580.00694444444423</v>
      </c>
      <c r="I15" s="12">
        <v>36</v>
      </c>
      <c r="J15" s="16">
        <f t="shared" si="3"/>
        <v>633.36111111111097</v>
      </c>
    </row>
    <row r="16" spans="1:10">
      <c r="B16" s="2" t="s">
        <v>18</v>
      </c>
      <c r="C16" s="3">
        <f>SUM(C4:C15)</f>
        <v>795</v>
      </c>
      <c r="D16" s="17">
        <f>SUM(D4:D15)</f>
        <v>6106.25</v>
      </c>
      <c r="E16" s="3">
        <f>SUM(E4:E15)</f>
        <v>608</v>
      </c>
      <c r="F16" s="17">
        <f>SUM(F4:F15)</f>
        <v>2338.6666666666665</v>
      </c>
      <c r="G16" s="3">
        <f>SUM(G4:G15)</f>
        <v>779</v>
      </c>
      <c r="H16" s="18">
        <f>SUM(H4:H15)</f>
        <v>5212.9166666666661</v>
      </c>
      <c r="I16" s="3">
        <f>SUM(I4:I15)</f>
        <v>734</v>
      </c>
      <c r="J16" s="19">
        <f>SUM(J4:J15)</f>
        <v>3551.666666666667</v>
      </c>
    </row>
    <row r="17" spans="2:10">
      <c r="B17" s="5" t="s">
        <v>19</v>
      </c>
      <c r="C17" s="6">
        <v>12</v>
      </c>
      <c r="D17" s="6"/>
      <c r="E17" s="6">
        <v>12</v>
      </c>
      <c r="F17" s="6"/>
      <c r="G17" s="6">
        <v>12</v>
      </c>
      <c r="H17" s="6"/>
      <c r="I17" s="6">
        <v>12</v>
      </c>
      <c r="J17" s="20"/>
    </row>
    <row r="18" spans="2:10">
      <c r="B18" s="5" t="s">
        <v>20</v>
      </c>
      <c r="C18" s="9">
        <f>C16/C17</f>
        <v>66.25</v>
      </c>
      <c r="D18" s="9"/>
      <c r="E18" s="9">
        <f t="shared" ref="D18:I18" si="4">E16/E17</f>
        <v>50.666666666666664</v>
      </c>
      <c r="F18" s="9"/>
      <c r="G18" s="9">
        <f t="shared" si="4"/>
        <v>64.916666666666671</v>
      </c>
      <c r="H18" s="9"/>
      <c r="I18" s="9">
        <f t="shared" si="4"/>
        <v>61.166666666666664</v>
      </c>
      <c r="J18" s="20"/>
    </row>
    <row r="19" spans="2:10">
      <c r="B19" s="5" t="s">
        <v>21</v>
      </c>
      <c r="C19" s="9">
        <f>AVERAGE(C4:C15)</f>
        <v>66.25</v>
      </c>
      <c r="D19" s="9"/>
      <c r="E19" s="9">
        <f t="shared" ref="D19:I19" si="5">AVERAGE(E4:E15)</f>
        <v>50.666666666666664</v>
      </c>
      <c r="F19" s="9"/>
      <c r="G19" s="9">
        <f t="shared" si="5"/>
        <v>64.916666666666671</v>
      </c>
      <c r="H19" s="9"/>
      <c r="I19" s="9">
        <f t="shared" si="5"/>
        <v>61.166666666666664</v>
      </c>
      <c r="J19" s="20"/>
    </row>
    <row r="20" spans="2:10">
      <c r="B20" s="21" t="s">
        <v>23</v>
      </c>
      <c r="C20" s="9">
        <f>D16/11</f>
        <v>555.11363636363637</v>
      </c>
      <c r="D20" s="22">
        <f>VAR(C4:C15)</f>
        <v>555.11363636363637</v>
      </c>
      <c r="E20" s="9">
        <f>F16/11</f>
        <v>212.60606060606059</v>
      </c>
      <c r="F20" s="9">
        <f>VAR(E4:E15)</f>
        <v>212.60606060606071</v>
      </c>
      <c r="G20" s="9">
        <f>H16/11</f>
        <v>473.90151515151507</v>
      </c>
      <c r="H20" s="9">
        <f>VAR(G4:G15)</f>
        <v>473.90151515151496</v>
      </c>
      <c r="I20" s="9">
        <f>J16/11</f>
        <v>322.87878787878793</v>
      </c>
      <c r="J20" s="23">
        <f>VAR(I4:I15)</f>
        <v>322.87878787878765</v>
      </c>
    </row>
    <row r="21" spans="2:10">
      <c r="B21" s="21" t="s">
        <v>24</v>
      </c>
      <c r="C21" s="9">
        <f>SQRT(C20)</f>
        <v>23.560849652837998</v>
      </c>
      <c r="D21" s="9">
        <f>STDEV(C4:C15)</f>
        <v>23.560849652837998</v>
      </c>
      <c r="E21" s="9">
        <f t="shared" ref="D21:J21" si="6">SQRT(E20)</f>
        <v>14.581017132081719</v>
      </c>
      <c r="F21" s="9">
        <f>STDEV(E4:E15)</f>
        <v>14.581017132081723</v>
      </c>
      <c r="G21" s="9">
        <f t="shared" si="6"/>
        <v>21.769279160126434</v>
      </c>
      <c r="H21" s="9">
        <f>STDEV(G4:G15)</f>
        <v>21.76927916012643</v>
      </c>
      <c r="I21" s="9">
        <f t="shared" si="6"/>
        <v>17.968828227761207</v>
      </c>
      <c r="J21" s="10">
        <f>STDEV(I4:I15)</f>
        <v>17.968828227761197</v>
      </c>
    </row>
    <row r="22" spans="2:10" ht="19.5" thickBot="1">
      <c r="B22" s="11"/>
      <c r="C22" s="12"/>
      <c r="D22" s="12"/>
      <c r="E22" s="12"/>
      <c r="F22" s="12"/>
      <c r="G22" s="12"/>
      <c r="H22" s="12"/>
      <c r="I22" s="24"/>
      <c r="J22" s="25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演習1（標準偏差）</vt:lpstr>
    </vt:vector>
  </TitlesOfParts>
  <Company>大阪大谷大学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</dc:creator>
  <cp:lastModifiedBy>jamoliddin .</cp:lastModifiedBy>
  <cp:lastPrinted>2013-06-18T01:38:10Z</cp:lastPrinted>
  <dcterms:created xsi:type="dcterms:W3CDTF">2008-06-04T11:22:36Z</dcterms:created>
  <dcterms:modified xsi:type="dcterms:W3CDTF">2026-05-05T06:10:08Z</dcterms:modified>
</cp:coreProperties>
</file>